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760" windowHeight="14000"/>
  </bookViews>
  <sheets>
    <sheet name="01_Lo_trinh" sheetId="1" r:id="rId1"/>
    <sheet name="02_Checklist_Task" sheetId="2" r:id="rId2"/>
    <sheet name="03_Nghiem_th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<sst xmlns="http://schemas.openxmlformats.org/spreadsheetml/2006/main" count="506" uniqueCount="248">
  <si>
    <t>ĐỒ ÁN CLOUD COMPUTING | NoSQL DATA MODEL &amp; CAP TRADE-OFF</t>
  </si>
  <si>
    <t>Tài liệu hướng dẫn triển khai • Không gắn thời gian cố định • Cập nhật trạng thái tại sheet 02 và 03</t>
  </si>
  <si>
    <t>THÀNH VIÊN</t>
  </si>
  <si>
    <t>VAI TRÒ</t>
  </si>
  <si>
    <t>Uyên (TV1)</t>
  </si>
  <si>
    <t>BA • Data Modeling • Documentation</t>
  </si>
  <si>
    <t>Lâm (TV2)</t>
  </si>
  <si>
    <t>Backend • NoSQL Infrastructure</t>
  </si>
  <si>
    <t>Duy (TV3)</t>
  </si>
  <si>
    <t>CAP Experiment • Testing • Evaluation</t>
  </si>
  <si>
    <t>I. ĐỊNH HƯỚNG VÀ PHẠM VI</t>
  </si>
  <si>
    <t>Mục tiêu</t>
  </si>
  <si>
    <t>Phân tích nghiệp vụ; thiết kế NoSQL; triển khai Replica Set; mô phỏng Network Partition; đo lường và kết luận CAP.</t>
  </si>
  <si>
    <t>Phạm vi</t>
  </si>
  <si>
    <t>Category, Product, tìm kiếm/lọc, cập nhật giá/trạng thái, đọc/ghi dữ liệu phân tán. Không làm thanh toán/đơn hàng/khách hàng.</t>
  </si>
  <si>
    <t>Stack</t>
  </si>
  <si>
    <t>MongoDB • FastAPI • Docker Compose • Replica Set 3 nodes • Pytest • Python/CSV • Matplotlib • GitHub</t>
  </si>
  <si>
    <t>Lưu ý CAP</t>
  </si>
  <si>
    <t>Không khẳng định MongoDB vừa CP vừa AP. Phân tích hành vi theo từng partition, read/write concern và read preference.</t>
  </si>
  <si>
    <t>Nguyên tắc nghiệm thu</t>
  </si>
  <si>
    <t>Chỉ đánh dấu hoàn thành khi có đầu ra, minh chứng và người rà soát xác nhận.</t>
  </si>
  <si>
    <t>II. LỘ TRÌNH TRIỂN KHAI – 6 GIAI ĐOẠN, KHÔNG ÁP DEADLINE</t>
  </si>
  <si>
    <t>Giai đoạn</t>
  </si>
  <si>
    <t>Task</t>
  </si>
  <si>
    <t>Cách triển khai</t>
  </si>
  <si>
    <t>Kết quả cần đạt</t>
  </si>
  <si>
    <t>Kiến thức môn học</t>
  </si>
  <si>
    <t>GĐ1 • Phân tích yêu cầu</t>
  </si>
  <si>
    <t>T01–T05</t>
  </si>
  <si>
    <t>Xác định scope, functional requirements, nghiên cứu MongoDB/CAP, kiến trúc tổng thể.</t>
  </si>
  <si>
    <t>M1: Requirements + Architecture Proposal</t>
  </si>
  <si>
    <t>Chương 1, 3</t>
  </si>
  <si>
    <t>GĐ2 • Thiết kế NoSQL</t>
  </si>
  <si>
    <t>T06–T10</t>
  </si>
  <si>
    <t>Data Dictionary; Document Schema; Embedded vs Reference; seed dataset; schema/index/integrity test.</t>
  </si>
  <si>
    <t>M2: Schema + Dataset + Validation</t>
  </si>
  <si>
    <t>Chương 3</t>
  </si>
  <si>
    <t>GĐ3 • Cloud mô phỏng</t>
  </si>
  <si>
    <t>T11–T15</t>
  </si>
  <si>
    <t>Docker; 3-node Replica Set; CRUD API; API tests; kiểm tra replication.</t>
  </si>
  <si>
    <t>M3: Cluster + API + Replication</t>
  </si>
  <si>
    <t>Chương 2, 4, 5</t>
  </si>
  <si>
    <t>GĐ4 • Kiểm chứng CAP</t>
  </si>
  <si>
    <t>T16–T20</t>
  </si>
  <si>
    <t>Thiết kế protocol; fault injection; baseline; network partition; thu thập log.</t>
  </si>
  <si>
    <t>M4: Logs + CAP Experiment Dataset</t>
  </si>
  <si>
    <t>GĐ5 • Phân tích kết quả</t>
  </si>
  <si>
    <t>T21–T25</t>
  </si>
  <si>
    <t>Làm sạch log; biểu đồ; CAP analysis; hạn chế/scalability; đối chiếu mục tiêu.</t>
  </si>
  <si>
    <t>M5: Evaluation Report</t>
  </si>
  <si>
    <t>GĐ6 • Nghiệm thu</t>
  </si>
  <si>
    <t>T26–T30</t>
  </si>
  <si>
    <t>Final report; README/source; regression test; slide/demo; bảo vệ thử.</t>
  </si>
  <si>
    <t>M6: Final Acceptance</t>
  </si>
  <si>
    <t>Chương 4, 5</t>
  </si>
  <si>
    <t>III. CÁCH LÀM / QUY TẮC KỸ THUẬT</t>
  </si>
  <si>
    <t>Schema</t>
  </si>
  <si>
    <t>categories và products; dùng category_id tham chiếu; xác định rule khi xóa/sửa category, index cho truy vấn và kiểm tra integrity.</t>
  </si>
  <si>
    <t>Hạ tầng</t>
  </si>
  <si>
    <t>3 mongod trong Docker network; khởi tạo Replica Set; xác minh primary/secondary và replication; không gọi đây là Multi-AZ Cloud thực.</t>
  </si>
  <si>
    <t>API</t>
  </si>
  <si>
    <t>CRUD danh mục/sản phẩm; tìm kiếm/lọc; kiểm tra đầu vào và lỗi; tránh xây frontend nếu chưa hoàn tất CAP.</t>
  </si>
  <si>
    <t>Thực nghiệm</t>
  </si>
  <si>
    <t>EXP01: 3 nodes bình thường; EXP02: cô lập secondary; EXP03: cô lập primary; EXP04: phục hồi kết nối.</t>
  </si>
  <si>
    <t>Cấu hình cố định</t>
  </si>
  <si>
    <t>Ghi rõ read preference, read concern, write concern, timeout, vị trí client và thời điểm fault injection; chạy lặp có kiểm soát.</t>
  </si>
  <si>
    <t>Metrics</t>
  </si>
  <si>
    <t>Request success/error rate; read/write latency; election/recovery time; quan sát dữ liệu giữa nodes. Phân biệt eventual convergence và strong consistency.</t>
  </si>
  <si>
    <t>Biểu đồ</t>
  </si>
  <si>
    <t>Latency trước/sau partition; success rate từng kịch bản; election/recovery; đối chiếu dữ liệu các node.</t>
  </si>
  <si>
    <t>Đánh đổi nghiệp vụ</t>
  </si>
  <si>
    <t>Mô tả sản phẩm có thể chấp nhận dữ liệu trễ; giá và tồn kho cần cân nhắc yêu cầu nhất quán cao hơn.</t>
  </si>
  <si>
    <t>IV. QUY TẮC PHỐI HỢP VÀ THEO DÕI</t>
  </si>
  <si>
    <t>Owner / Reviewer</t>
  </si>
  <si>
    <t>Người phụ trách chính cập nhật trạng thái và minh chứng; người rà soát kiểm tra trước khi chuyển Hoàn thành.</t>
  </si>
  <si>
    <t>Sheet 02</t>
  </si>
  <si>
    <t>Đổi trạng thái trong dropdown; ghi kết quả thực tế và đường dẫn minh chứng; các task phối hợp vẫn có một owner chính.</t>
  </si>
  <si>
    <t>Sheet 03</t>
  </si>
  <si>
    <t>Đánh dấu sản phẩm đầu ra Chưa đạt / Đang rà soát / Đạt; không tính nghiệm thu chỉ từ việc hoàn thành task.</t>
  </si>
  <si>
    <t>Không dùng thời gian</t>
  </si>
  <si>
    <t>Thứ tự GĐ1→GĐ6 là dependency logic, không phải lịch tuần hoặc deadline.</t>
  </si>
  <si>
    <t>CHECKLIST 30 TASK | CẬP NHẬT TRẠNG THÁI VÀ MINH CHỨNG</t>
  </si>
  <si>
    <t>Tổng task</t>
  </si>
  <si>
    <t>Hoàn thành</t>
  </si>
  <si>
    <t>Đang xử lý</t>
  </si>
  <si>
    <t>Tỷ lệ hoàn thành</t>
  </si>
  <si>
    <t>ID</t>
  </si>
  <si>
    <t>Công việc cần làm</t>
  </si>
  <si>
    <t>Owner</t>
  </si>
  <si>
    <t>Reviewer</t>
  </si>
  <si>
    <t>Đầu ra mong đợi</t>
  </si>
  <si>
    <t>Trạng thái ✓</t>
  </si>
  <si>
    <t>Kết quả thực tế</t>
  </si>
  <si>
    <t>Minh chứng / link</t>
  </si>
  <si>
    <t>Ghi chú / vướng mắc</t>
  </si>
  <si>
    <t>T01</t>
  </si>
  <si>
    <t>Phân tích</t>
  </si>
  <si>
    <t>Phân tích đề tài và phạm vi nghiên cứu</t>
  </si>
  <si>
    <t>Uyên</t>
  </si>
  <si>
    <t>Lâm</t>
  </si>
  <si>
    <t>Project Scope</t>
  </si>
  <si>
    <t>Chưa làm</t>
  </si>
  <si>
    <t/>
  </si>
  <si>
    <t>T02</t>
  </si>
  <si>
    <t>Xác định chức năng hệ thống danh mục sản phẩm</t>
  </si>
  <si>
    <t>Duy</t>
  </si>
  <si>
    <t>Functional Requirements</t>
  </si>
  <si>
    <t>T03</t>
  </si>
  <si>
    <t>Nghiên cứu MongoDB và kiến trúc Replica Set</t>
  </si>
  <si>
    <t>Technical Research</t>
  </si>
  <si>
    <t>T04</t>
  </si>
  <si>
    <t>Nghiên cứu CAP Theorem và Network Partition</t>
  </si>
  <si>
    <t>CAP Research</t>
  </si>
  <si>
    <t>T05</t>
  </si>
  <si>
    <t>Thống nhất kiến trúc tổng thể và tiêu chí nghiệm thu</t>
  </si>
  <si>
    <t>Lâm / Duy</t>
  </si>
  <si>
    <t>Architecture Proposal</t>
  </si>
  <si>
    <t>T06</t>
  </si>
  <si>
    <t>Thiết kế NoSQL</t>
  </si>
  <si>
    <t>Xác định thực thể và thuộc tính dữ liệu</t>
  </si>
  <si>
    <t>Data Dictionary</t>
  </si>
  <si>
    <t>T07</t>
  </si>
  <si>
    <t>Thiết kế Document Schema</t>
  </si>
  <si>
    <t>NoSQL Logical Schema</t>
  </si>
  <si>
    <t>T08</t>
  </si>
  <si>
    <t>Phân tích Embedded và Referenced Documents</t>
  </si>
  <si>
    <t>Design Decision</t>
  </si>
  <si>
    <t>T09</t>
  </si>
  <si>
    <t>Xây dựng dữ liệu mẫu và script khởi tạo</t>
  </si>
  <si>
    <t>Seed Dataset</t>
  </si>
  <si>
    <t>T10</t>
  </si>
  <si>
    <t>Kiểm tra Schema, Index và Data Integrity</t>
  </si>
  <si>
    <t>Schema Validation Report</t>
  </si>
  <si>
    <t>T11</t>
  </si>
  <si>
    <t>Cloud mô phỏng</t>
  </si>
  <si>
    <t>Thiết lập Docker Environment</t>
  </si>
  <si>
    <t>Docker Compose</t>
  </si>
  <si>
    <t>T12</t>
  </si>
  <si>
    <t>Triển khai MongoDB Replica Set gồm 3 nodes</t>
  </si>
  <si>
    <t>Database Cluster</t>
  </si>
  <si>
    <t>T13</t>
  </si>
  <si>
    <t>Xây dựng API quản lý danh mục sản phẩm</t>
  </si>
  <si>
    <t>REST API</t>
  </si>
  <si>
    <t>T14</t>
  </si>
  <si>
    <t>Kiểm thử CRUD và Data Validation</t>
  </si>
  <si>
    <t>API Test Report</t>
  </si>
  <si>
    <t>T15</t>
  </si>
  <si>
    <t>Kiểm tra đồng bộ dữ liệu giữa các nodes</t>
  </si>
  <si>
    <t>Replication Report</t>
  </si>
  <si>
    <t>T16</t>
  </si>
  <si>
    <t>Kiểm chứng CAP</t>
  </si>
  <si>
    <t>Thiết kế kịch bản thực nghiệm CAP</t>
  </si>
  <si>
    <t>Experiment Protocol</t>
  </si>
  <si>
    <t>T17</t>
  </si>
  <si>
    <t>Xây dựng script mô phỏng Network Partition</t>
  </si>
  <si>
    <t>Fault Injection Script</t>
  </si>
  <si>
    <t>T18</t>
  </si>
  <si>
    <t>Thực nghiệm hệ thống ở trạng thái bình thường</t>
  </si>
  <si>
    <t>Baseline Results</t>
  </si>
  <si>
    <t>T19</t>
  </si>
  <si>
    <t>Thực nghiệm khi xảy ra Network Partition</t>
  </si>
  <si>
    <t>CAP Experiment Results</t>
  </si>
  <si>
    <t>T20</t>
  </si>
  <si>
    <t>Tổng hợp log và kiểm tra tính hợp lệ của kết quả</t>
  </si>
  <si>
    <t>Experiment Dataset</t>
  </si>
  <si>
    <t>T21</t>
  </si>
  <si>
    <t>Phân tích kết quả</t>
  </si>
  <si>
    <t>Tổng hợp và làm sạch log thực nghiệm</t>
  </si>
  <si>
    <t>Clean Experiment Dataset</t>
  </si>
  <si>
    <t>T22</t>
  </si>
  <si>
    <t>Trực quan hóa các chỉ số</t>
  </si>
  <si>
    <t>Performance Charts</t>
  </si>
  <si>
    <t>T23</t>
  </si>
  <si>
    <t>Phân tích đánh đổi CAP dựa trên kết quả</t>
  </si>
  <si>
    <t>CAP Analysis</t>
  </si>
  <si>
    <t>T24</t>
  </si>
  <si>
    <t>Đánh giá hạn chế mô hình và khả năng mở rộng</t>
  </si>
  <si>
    <t>Technical Evaluation</t>
  </si>
  <si>
    <t>T25</t>
  </si>
  <si>
    <t>Đối chiếu kết quả với mục tiêu ban đầu</t>
  </si>
  <si>
    <t>Evaluation Report</t>
  </si>
  <si>
    <t>T26</t>
  </si>
  <si>
    <t>Nghiệm thu</t>
  </si>
  <si>
    <t>Viết báo cáo đồ án hoàn chỉnh</t>
  </si>
  <si>
    <t>Final Report</t>
  </si>
  <si>
    <t>T27</t>
  </si>
  <si>
    <t>Chuẩn hóa source code và hướng dẫn triển khai</t>
  </si>
  <si>
    <t>GitHub Repository + README</t>
  </si>
  <si>
    <t>T28</t>
  </si>
  <si>
    <t>Kiểm thử lại toàn bộ hệ thống</t>
  </si>
  <si>
    <t>Final Test Report</t>
  </si>
  <si>
    <t>T29</t>
  </si>
  <si>
    <t>Thiết kế slide thuyết trình và video demo</t>
  </si>
  <si>
    <t>Presentation + Demo</t>
  </si>
  <si>
    <t>T30</t>
  </si>
  <si>
    <t>Nghiệm thu nội bộ và luyện phản biện</t>
  </si>
  <si>
    <t>Final Acceptance</t>
  </si>
  <si>
    <t>NGHIỆM THU SẢN PHẨM | CHỈ ĐÁNH DẤU ĐẠT KHI CÓ MINH CHỨNG</t>
  </si>
  <si>
    <t>Tổng đầu ra</t>
  </si>
  <si>
    <t>Đã đạt</t>
  </si>
  <si>
    <t>Tỷ lệ nghiệm thu</t>
  </si>
  <si>
    <t>Deliverable</t>
  </si>
  <si>
    <t>Tiêu chí nghiệm thu</t>
  </si>
  <si>
    <t>Task liên quan</t>
  </si>
  <si>
    <t>Đánh dấu ✓</t>
  </si>
  <si>
    <t>Minh chứng / đường dẫn</t>
  </si>
  <si>
    <t>Nhận xét reviewer</t>
  </si>
  <si>
    <t>D01</t>
  </si>
  <si>
    <t>Requirement Specification</t>
  </si>
  <si>
    <t>Có phạm vi, chức năng và yêu cầu rõ ràng</t>
  </si>
  <si>
    <t>T01,T02,T05</t>
  </si>
  <si>
    <t>Chưa đạt</t>
  </si>
  <si>
    <t>D02</t>
  </si>
  <si>
    <t>NoSQL Schema</t>
  </si>
  <si>
    <t>Schema, ràng buộc, Embedded vs Reference và Index</t>
  </si>
  <si>
    <t>T06–T08,T10</t>
  </si>
  <si>
    <t>D03</t>
  </si>
  <si>
    <t>Script tái lập được dữ liệu mẫu</t>
  </si>
  <si>
    <t>D04</t>
  </si>
  <si>
    <t>MongoDB Replica Set</t>
  </si>
  <si>
    <t>3 nodes hoạt động, có bằng chứng trạng thái/replication</t>
  </si>
  <si>
    <t>T11,T12,T15</t>
  </si>
  <si>
    <t>D05</t>
  </si>
  <si>
    <t>Backend API</t>
  </si>
  <si>
    <t>CRUD, tìm kiếm/lọc và validation được kiểm thử</t>
  </si>
  <si>
    <t>T13,T14</t>
  </si>
  <si>
    <t>D06</t>
  </si>
  <si>
    <t>CAP Experiment</t>
  </si>
  <si>
    <t>4 kịch bản có fault injection và log</t>
  </si>
  <si>
    <t>T16–T19</t>
  </si>
  <si>
    <t>D07</t>
  </si>
  <si>
    <t>Có log và dữ liệu đo lường hợp lệ</t>
  </si>
  <si>
    <t>T20,T21</t>
  </si>
  <si>
    <t>D08</t>
  </si>
  <si>
    <t>Biểu đồ latency, success rate, election/recovery, dữ liệu nodes</t>
  </si>
  <si>
    <t>D09</t>
  </si>
  <si>
    <t>CAP Analysis &amp; Evaluation</t>
  </si>
  <si>
    <t>Giải thích đánh đổi theo cấu hình và bằng chứng, nêu giới hạn</t>
  </si>
  <si>
    <t>T23–T25</t>
  </si>
  <si>
    <t>D10</t>
  </si>
  <si>
    <t>Source Code &amp; README</t>
  </si>
  <si>
    <t>Có source, cấu hình và hướng dẫn tái lập</t>
  </si>
  <si>
    <t>D11</t>
  </si>
  <si>
    <t>Đầy đủ cơ sở lý thuyết, thiết kế, thực nghiệm và kết luận</t>
  </si>
  <si>
    <t>D12</t>
  </si>
  <si>
    <t>Presentation &amp; Demo</t>
  </si>
  <si>
    <t>Slide, demo, nghiệm thu nội bộ và phân vai bảo vệ</t>
  </si>
  <si>
    <t>T28–T30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</si>
</sst>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87E8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Border="1"/>
    <xf numFmtId="9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D9F5E5"/>
        </patternFill>
      </fill>
    </dxf>
    <dxf>
      <fill>
        <patternFill patternType="solid">
          <bgColor rgb="FFFCE0DF"/>
        </patternFill>
      </fill>
    </dxf>
    <dxf>
      <fill>
        <patternFill patternType="solid">
          <bgColor rgb="FFFFF0C2"/>
        </patternFill>
      </fill>
    </dxf>
    <dxf>
      <fill>
        <patternFill patternType="solid">
          <bgColor rgb="FFE0EA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pane ySplit="2" topLeftCell="A3" activePane="bottomLeft" state="frozen"/>
      <selection/>
      <selection pane="bottomLeft" activeCell="A1" sqref="A1:E1"/>
    </sheetView>
  </sheetViews>
  <sheetFormatPr defaultColWidth="9" defaultRowHeight="16.8" outlineLevelCol="4"/>
  <cols>
    <col min="1" max="1" width="30" customWidth="1"/>
    <col min="2" max="2" width="27" customWidth="1"/>
    <col min="3" max="3" width="70" customWidth="1"/>
    <col min="4" max="4" width="43" customWidth="1"/>
    <col min="5" max="5" width="28" customWidth="1"/>
  </cols>
  <sheetData>
    <row r="1" ht="32" customHeight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4" ht="28" customHeight="1" spans="1:5">
      <c r="A4" s="3" t="s">
        <v>2</v>
      </c>
      <c r="B4" s="3" t="s">
        <v>3</v>
      </c>
      <c r="C4" s="4"/>
      <c r="D4" s="4"/>
      <c r="E4" s="4"/>
    </row>
    <row r="5" ht="34" spans="1:5">
      <c r="A5" s="4" t="s">
        <v>4</v>
      </c>
      <c r="B5" s="4" t="s">
        <v>5</v>
      </c>
      <c r="C5" s="4"/>
      <c r="D5" s="4"/>
      <c r="E5" s="4"/>
    </row>
    <row r="6" ht="34" spans="1:5">
      <c r="A6" s="4" t="s">
        <v>6</v>
      </c>
      <c r="B6" s="4" t="s">
        <v>7</v>
      </c>
      <c r="C6" s="4"/>
      <c r="D6" s="4"/>
      <c r="E6" s="4"/>
    </row>
    <row r="7" ht="34" spans="1:5">
      <c r="A7" s="4" t="s">
        <v>8</v>
      </c>
      <c r="B7" s="4" t="s">
        <v>9</v>
      </c>
      <c r="C7" s="4"/>
      <c r="D7" s="4"/>
      <c r="E7" s="4"/>
    </row>
    <row r="8" spans="1:5">
      <c r="A8" s="4"/>
      <c r="B8" s="4"/>
      <c r="C8" s="4"/>
      <c r="D8" s="4"/>
      <c r="E8" s="4"/>
    </row>
    <row r="9" ht="27" customHeight="1" spans="1:5">
      <c r="A9" s="5" t="s">
        <v>10</v>
      </c>
      <c r="B9" s="5"/>
      <c r="C9" s="5"/>
      <c r="D9" s="5"/>
      <c r="E9" s="5"/>
    </row>
    <row r="10" ht="43" customHeight="1" spans="1:5">
      <c r="A10" s="4" t="s">
        <v>11</v>
      </c>
      <c r="B10" s="4" t="s">
        <v>12</v>
      </c>
      <c r="C10" s="4"/>
      <c r="D10" s="4"/>
      <c r="E10" s="4"/>
    </row>
    <row r="11" ht="43" customHeight="1" spans="1:5">
      <c r="A11" s="4" t="s">
        <v>13</v>
      </c>
      <c r="B11" s="4" t="s">
        <v>14</v>
      </c>
      <c r="C11" s="4"/>
      <c r="D11" s="4"/>
      <c r="E11" s="4"/>
    </row>
    <row r="12" ht="43" customHeight="1" spans="1:5">
      <c r="A12" s="4" t="s">
        <v>15</v>
      </c>
      <c r="B12" s="4" t="s">
        <v>16</v>
      </c>
      <c r="C12" s="4"/>
      <c r="D12" s="4"/>
      <c r="E12" s="4"/>
    </row>
    <row r="13" ht="43" customHeight="1" spans="1:5">
      <c r="A13" s="4" t="s">
        <v>17</v>
      </c>
      <c r="B13" s="4" t="s">
        <v>18</v>
      </c>
      <c r="C13" s="4"/>
      <c r="D13" s="4"/>
      <c r="E13" s="4"/>
    </row>
    <row r="14" ht="43" customHeight="1" spans="1:5">
      <c r="A14" s="4" t="s">
        <v>19</v>
      </c>
      <c r="B14" s="4" t="s">
        <v>20</v>
      </c>
      <c r="C14" s="4"/>
      <c r="D14" s="4"/>
      <c r="E14" s="4"/>
    </row>
    <row r="15" ht="43" customHeight="1" spans="1:5">
      <c r="A15" s="4"/>
      <c r="B15" s="4"/>
      <c r="C15" s="4"/>
      <c r="D15" s="4"/>
      <c r="E15" s="4"/>
    </row>
    <row r="16" ht="43" customHeight="1" spans="1:5">
      <c r="A16" s="5" t="s">
        <v>21</v>
      </c>
      <c r="B16" s="5"/>
      <c r="C16" s="5"/>
      <c r="D16" s="5"/>
      <c r="E16" s="5"/>
    </row>
    <row r="17" ht="43" customHeight="1" spans="1:5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</row>
    <row r="18" ht="75" customHeight="1" spans="1:5">
      <c r="A18" s="4" t="s">
        <v>27</v>
      </c>
      <c r="B18" s="4" t="s">
        <v>28</v>
      </c>
      <c r="C18" s="4" t="s">
        <v>29</v>
      </c>
      <c r="D18" s="4" t="s">
        <v>30</v>
      </c>
      <c r="E18" s="4" t="s">
        <v>31</v>
      </c>
    </row>
    <row r="19" ht="75" customHeight="1" spans="1:5">
      <c r="A19" s="4" t="s">
        <v>32</v>
      </c>
      <c r="B19" s="4" t="s">
        <v>33</v>
      </c>
      <c r="C19" s="4" t="s">
        <v>34</v>
      </c>
      <c r="D19" s="4" t="s">
        <v>35</v>
      </c>
      <c r="E19" s="4" t="s">
        <v>36</v>
      </c>
    </row>
    <row r="20" ht="75" customHeight="1" spans="1:5">
      <c r="A20" s="4" t="s">
        <v>37</v>
      </c>
      <c r="B20" s="4" t="s">
        <v>38</v>
      </c>
      <c r="C20" s="4" t="s">
        <v>39</v>
      </c>
      <c r="D20" s="4" t="s">
        <v>40</v>
      </c>
      <c r="E20" s="4" t="s">
        <v>41</v>
      </c>
    </row>
    <row r="21" ht="75" customHeight="1" spans="1:5">
      <c r="A21" s="4" t="s">
        <v>42</v>
      </c>
      <c r="B21" s="4" t="s">
        <v>43</v>
      </c>
      <c r="C21" s="4" t="s">
        <v>44</v>
      </c>
      <c r="D21" s="4" t="s">
        <v>45</v>
      </c>
      <c r="E21" s="4" t="s">
        <v>36</v>
      </c>
    </row>
    <row r="22" ht="75" customHeight="1" spans="1:5">
      <c r="A22" s="4" t="s">
        <v>46</v>
      </c>
      <c r="B22" s="4" t="s">
        <v>47</v>
      </c>
      <c r="C22" s="4" t="s">
        <v>48</v>
      </c>
      <c r="D22" s="4" t="s">
        <v>49</v>
      </c>
      <c r="E22" s="4" t="s">
        <v>36</v>
      </c>
    </row>
    <row r="23" ht="75" customHeight="1" spans="1:5">
      <c r="A23" s="4" t="s">
        <v>50</v>
      </c>
      <c r="B23" s="4" t="s">
        <v>51</v>
      </c>
      <c r="C23" s="4" t="s">
        <v>52</v>
      </c>
      <c r="D23" s="4" t="s">
        <v>53</v>
      </c>
      <c r="E23" s="4" t="s">
        <v>54</v>
      </c>
    </row>
    <row r="24" ht="43" customHeight="1" spans="1:5">
      <c r="A24" s="4"/>
      <c r="B24" s="4"/>
      <c r="C24" s="4"/>
      <c r="D24" s="4"/>
      <c r="E24" s="4"/>
    </row>
    <row r="25" ht="43" customHeight="1" spans="1:5">
      <c r="A25" s="5" t="s">
        <v>55</v>
      </c>
      <c r="B25" s="5"/>
      <c r="C25" s="5"/>
      <c r="D25" s="5"/>
      <c r="E25" s="5"/>
    </row>
    <row r="26" ht="43" customHeight="1" spans="1:5">
      <c r="A26" s="4" t="s">
        <v>56</v>
      </c>
      <c r="B26" s="4" t="s">
        <v>57</v>
      </c>
      <c r="C26" s="4"/>
      <c r="D26" s="4"/>
      <c r="E26" s="4"/>
    </row>
    <row r="27" ht="43" customHeight="1" spans="1:5">
      <c r="A27" s="4" t="s">
        <v>58</v>
      </c>
      <c r="B27" s="4" t="s">
        <v>59</v>
      </c>
      <c r="C27" s="4"/>
      <c r="D27" s="4"/>
      <c r="E27" s="4"/>
    </row>
    <row r="28" ht="43" customHeight="1" spans="1:5">
      <c r="A28" s="4" t="s">
        <v>60</v>
      </c>
      <c r="B28" s="4" t="s">
        <v>61</v>
      </c>
      <c r="C28" s="4"/>
      <c r="D28" s="4"/>
      <c r="E28" s="4"/>
    </row>
    <row r="29" ht="43" customHeight="1" spans="1:5">
      <c r="A29" s="4" t="s">
        <v>62</v>
      </c>
      <c r="B29" s="4" t="s">
        <v>63</v>
      </c>
      <c r="C29" s="4"/>
      <c r="D29" s="4"/>
      <c r="E29" s="4"/>
    </row>
    <row r="30" ht="43" customHeight="1" spans="1:5">
      <c r="A30" s="4" t="s">
        <v>64</v>
      </c>
      <c r="B30" s="4" t="s">
        <v>65</v>
      </c>
      <c r="C30" s="4"/>
      <c r="D30" s="4"/>
      <c r="E30" s="4"/>
    </row>
    <row r="31" ht="43" customHeight="1" spans="1:5">
      <c r="A31" s="4" t="s">
        <v>66</v>
      </c>
      <c r="B31" s="4" t="s">
        <v>67</v>
      </c>
      <c r="C31" s="4"/>
      <c r="D31" s="4"/>
      <c r="E31" s="4"/>
    </row>
    <row r="32" ht="43" customHeight="1" spans="1:5">
      <c r="A32" s="4" t="s">
        <v>68</v>
      </c>
      <c r="B32" s="4" t="s">
        <v>69</v>
      </c>
      <c r="C32" s="4"/>
      <c r="D32" s="4"/>
      <c r="E32" s="4"/>
    </row>
    <row r="33" ht="43" customHeight="1" spans="1:5">
      <c r="A33" s="4" t="s">
        <v>70</v>
      </c>
      <c r="B33" s="4" t="s">
        <v>71</v>
      </c>
      <c r="C33" s="4"/>
      <c r="D33" s="4"/>
      <c r="E33" s="4"/>
    </row>
    <row r="34" ht="43" customHeight="1" spans="1:5">
      <c r="A34" s="4"/>
      <c r="B34" s="4"/>
      <c r="C34" s="4"/>
      <c r="D34" s="4"/>
      <c r="E34" s="4"/>
    </row>
    <row r="35" ht="43" customHeight="1" spans="1:5">
      <c r="A35" s="5" t="s">
        <v>72</v>
      </c>
      <c r="B35" s="5"/>
      <c r="C35" s="5"/>
      <c r="D35" s="5"/>
      <c r="E35" s="5"/>
    </row>
    <row r="36" ht="43" customHeight="1" spans="1:5">
      <c r="A36" s="4" t="s">
        <v>73</v>
      </c>
      <c r="B36" s="4" t="s">
        <v>74</v>
      </c>
      <c r="C36" s="4"/>
      <c r="D36" s="4"/>
      <c r="E36" s="4"/>
    </row>
    <row r="37" ht="43" customHeight="1" spans="1:5">
      <c r="A37" s="4" t="s">
        <v>75</v>
      </c>
      <c r="B37" s="4" t="s">
        <v>76</v>
      </c>
      <c r="C37" s="4"/>
      <c r="D37" s="4"/>
      <c r="E37" s="4"/>
    </row>
    <row r="38" ht="43" customHeight="1" spans="1:5">
      <c r="A38" s="4" t="s">
        <v>77</v>
      </c>
      <c r="B38" s="4" t="s">
        <v>78</v>
      </c>
      <c r="C38" s="4"/>
      <c r="D38" s="4"/>
      <c r="E38" s="4"/>
    </row>
    <row r="39" ht="43" customHeight="1" spans="1:5">
      <c r="A39" s="4" t="s">
        <v>79</v>
      </c>
      <c r="B39" s="4" t="s">
        <v>80</v>
      </c>
      <c r="C39" s="4"/>
      <c r="D39" s="4"/>
      <c r="E39" s="4"/>
    </row>
    <row r="40" ht="43" customHeight="1" spans="1:5">
      <c r="A40" s="4"/>
      <c r="B40" s="4"/>
      <c r="C40" s="4"/>
      <c r="D40" s="4"/>
      <c r="E40" s="4"/>
    </row>
  </sheetData>
  <mergeCells count="23">
    <mergeCell ref="A1:E1"/>
    <mergeCell ref="A2:E2"/>
    <mergeCell ref="A9:E9"/>
    <mergeCell ref="B10:E10"/>
    <mergeCell ref="B11:E11"/>
    <mergeCell ref="B12:E12"/>
    <mergeCell ref="B13:E13"/>
    <mergeCell ref="B14:E14"/>
    <mergeCell ref="A16:E16"/>
    <mergeCell ref="A25:E25"/>
    <mergeCell ref="B26:E26"/>
    <mergeCell ref="B27:E27"/>
    <mergeCell ref="B28:E28"/>
    <mergeCell ref="B29:E29"/>
    <mergeCell ref="B30:E30"/>
    <mergeCell ref="B31:E31"/>
    <mergeCell ref="B32:E32"/>
    <mergeCell ref="B33:E33"/>
    <mergeCell ref="A35:E35"/>
    <mergeCell ref="B36:E36"/>
    <mergeCell ref="B37:E37"/>
    <mergeCell ref="B38:E38"/>
    <mergeCell ref="B39:E3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ySplit="8" topLeftCell="A9" activePane="bottomLeft" state="frozen"/>
      <selection/>
      <selection pane="bottomLeft" activeCell="A1" sqref="A1:J1"/>
    </sheetView>
  </sheetViews>
  <sheetFormatPr defaultColWidth="9" defaultRowHeight="16.8"/>
  <cols>
    <col min="1" max="1" width="9" customWidth="1"/>
    <col min="2" max="2" width="21" customWidth="1"/>
    <col min="3" max="3" width="59" customWidth="1"/>
    <col min="4" max="4" width="15" customWidth="1"/>
    <col min="5" max="5" width="17" customWidth="1"/>
    <col min="6" max="6" width="31" customWidth="1"/>
    <col min="7" max="7" width="18" customWidth="1"/>
    <col min="8" max="8" width="42" customWidth="1"/>
    <col min="9" max="9" width="37" customWidth="1"/>
    <col min="10" max="10" width="39" customWidth="1"/>
  </cols>
  <sheetData>
    <row r="1" ht="32" customHeight="1" spans="1:10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82</v>
      </c>
      <c r="B2">
        <v>30</v>
      </c>
    </row>
    <row r="3" spans="1:10">
      <c r="A3" t="s">
        <v>83</v>
      </c>
      <c r="B3">
        <f>COUNTIF(G9:G38,"Hoàn thành")</f>
        <v>0</v>
      </c>
    </row>
    <row r="4" spans="1:10">
      <c r="A4" t="s">
        <v>84</v>
      </c>
      <c r="B4">
        <f>COUNTIF(G9:G38,"Đang làm")+COUNTIF(G9:G38,"Chờ rà soát")</f>
        <v>0</v>
      </c>
    </row>
    <row r="5" spans="1:10">
      <c r="A5" t="s">
        <v>85</v>
      </c>
      <c r="B5" s="2">
        <f>B3/B2</f>
        <v>0</v>
      </c>
    </row>
    <row r="8" ht="28" customHeight="1" spans="1:10">
      <c r="A8" s="3" t="s">
        <v>86</v>
      </c>
      <c r="B8" s="3" t="s">
        <v>22</v>
      </c>
      <c r="C8" s="3" t="s">
        <v>87</v>
      </c>
      <c r="D8" s="3" t="s">
        <v>88</v>
      </c>
      <c r="E8" s="3" t="s">
        <v>89</v>
      </c>
      <c r="F8" s="3" t="s">
        <v>90</v>
      </c>
      <c r="G8" s="3" t="s">
        <v>91</v>
      </c>
      <c r="H8" s="3" t="s">
        <v>92</v>
      </c>
      <c r="I8" s="3" t="s">
        <v>93</v>
      </c>
      <c r="J8" s="3" t="s">
        <v>94</v>
      </c>
    </row>
    <row r="9" ht="43" customHeight="1" spans="1:10">
      <c r="A9" s="4" t="s">
        <v>95</v>
      </c>
      <c r="B9" s="4" t="s">
        <v>96</v>
      </c>
      <c r="C9" s="4" t="s">
        <v>97</v>
      </c>
      <c r="D9" s="4" t="s">
        <v>98</v>
      </c>
      <c r="E9" s="4" t="s">
        <v>99</v>
      </c>
      <c r="F9" s="4" t="s">
        <v>100</v>
      </c>
      <c r="G9" s="4" t="s">
        <v>101</v>
      </c>
      <c r="H9" s="4" t="s">
        <v>102</v>
      </c>
      <c r="I9" s="4" t="s">
        <v>102</v>
      </c>
      <c r="J9" s="4" t="s">
        <v>102</v>
      </c>
    </row>
    <row r="10" ht="43" customHeight="1" spans="1:10">
      <c r="A10" s="4" t="s">
        <v>103</v>
      </c>
      <c r="B10" s="4" t="s">
        <v>96</v>
      </c>
      <c r="C10" s="4" t="s">
        <v>104</v>
      </c>
      <c r="D10" s="4" t="s">
        <v>98</v>
      </c>
      <c r="E10" s="4" t="s">
        <v>105</v>
      </c>
      <c r="F10" s="4" t="s">
        <v>106</v>
      </c>
      <c r="G10" s="4" t="s">
        <v>101</v>
      </c>
      <c r="H10" s="4" t="s">
        <v>102</v>
      </c>
      <c r="I10" s="4" t="s">
        <v>102</v>
      </c>
      <c r="J10" s="4" t="s">
        <v>102</v>
      </c>
    </row>
    <row r="11" ht="43" customHeight="1" spans="1:10">
      <c r="A11" s="4" t="s">
        <v>107</v>
      </c>
      <c r="B11" s="4" t="s">
        <v>96</v>
      </c>
      <c r="C11" s="4" t="s">
        <v>108</v>
      </c>
      <c r="D11" s="4" t="s">
        <v>99</v>
      </c>
      <c r="E11" s="4" t="s">
        <v>98</v>
      </c>
      <c r="F11" s="4" t="s">
        <v>109</v>
      </c>
      <c r="G11" s="4" t="s">
        <v>101</v>
      </c>
      <c r="H11" s="4" t="s">
        <v>102</v>
      </c>
      <c r="I11" s="4" t="s">
        <v>102</v>
      </c>
      <c r="J11" s="4" t="s">
        <v>102</v>
      </c>
    </row>
    <row r="12" ht="43" customHeight="1" spans="1:10">
      <c r="A12" s="4" t="s">
        <v>110</v>
      </c>
      <c r="B12" s="4" t="s">
        <v>96</v>
      </c>
      <c r="C12" s="4" t="s">
        <v>111</v>
      </c>
      <c r="D12" s="4" t="s">
        <v>105</v>
      </c>
      <c r="E12" s="4" t="s">
        <v>98</v>
      </c>
      <c r="F12" s="4" t="s">
        <v>112</v>
      </c>
      <c r="G12" s="4" t="s">
        <v>101</v>
      </c>
      <c r="H12" s="4" t="s">
        <v>102</v>
      </c>
      <c r="I12" s="4" t="s">
        <v>102</v>
      </c>
      <c r="J12" s="4" t="s">
        <v>102</v>
      </c>
    </row>
    <row r="13" ht="43" customHeight="1" spans="1:10">
      <c r="A13" s="4" t="s">
        <v>113</v>
      </c>
      <c r="B13" s="4" t="s">
        <v>96</v>
      </c>
      <c r="C13" s="4" t="s">
        <v>114</v>
      </c>
      <c r="D13" s="4" t="s">
        <v>98</v>
      </c>
      <c r="E13" s="4" t="s">
        <v>115</v>
      </c>
      <c r="F13" s="4" t="s">
        <v>116</v>
      </c>
      <c r="G13" s="4" t="s">
        <v>101</v>
      </c>
      <c r="H13" s="4" t="s">
        <v>102</v>
      </c>
      <c r="I13" s="4" t="s">
        <v>102</v>
      </c>
      <c r="J13" s="4" t="s">
        <v>102</v>
      </c>
    </row>
    <row r="14" ht="43" customHeight="1" spans="1:10">
      <c r="A14" s="4" t="s">
        <v>117</v>
      </c>
      <c r="B14" s="4" t="s">
        <v>118</v>
      </c>
      <c r="C14" s="4" t="s">
        <v>119</v>
      </c>
      <c r="D14" s="4" t="s">
        <v>98</v>
      </c>
      <c r="E14" s="4" t="s">
        <v>105</v>
      </c>
      <c r="F14" s="4" t="s">
        <v>120</v>
      </c>
      <c r="G14" s="4" t="s">
        <v>101</v>
      </c>
      <c r="H14" s="4" t="s">
        <v>102</v>
      </c>
      <c r="I14" s="4" t="s">
        <v>102</v>
      </c>
      <c r="J14" s="4" t="s">
        <v>102</v>
      </c>
    </row>
    <row r="15" ht="43" customHeight="1" spans="1:10">
      <c r="A15" s="4" t="s">
        <v>121</v>
      </c>
      <c r="B15" s="4" t="s">
        <v>118</v>
      </c>
      <c r="C15" s="4" t="s">
        <v>122</v>
      </c>
      <c r="D15" s="4" t="s">
        <v>98</v>
      </c>
      <c r="E15" s="4" t="s">
        <v>99</v>
      </c>
      <c r="F15" s="4" t="s">
        <v>123</v>
      </c>
      <c r="G15" s="4" t="s">
        <v>101</v>
      </c>
      <c r="H15" s="4" t="s">
        <v>102</v>
      </c>
      <c r="I15" s="4" t="s">
        <v>102</v>
      </c>
      <c r="J15" s="4" t="s">
        <v>102</v>
      </c>
    </row>
    <row r="16" ht="43" customHeight="1" spans="1:10">
      <c r="A16" s="4" t="s">
        <v>124</v>
      </c>
      <c r="B16" s="4" t="s">
        <v>118</v>
      </c>
      <c r="C16" s="4" t="s">
        <v>125</v>
      </c>
      <c r="D16" s="4" t="s">
        <v>98</v>
      </c>
      <c r="E16" s="4" t="s">
        <v>99</v>
      </c>
      <c r="F16" s="4" t="s">
        <v>126</v>
      </c>
      <c r="G16" s="4" t="s">
        <v>101</v>
      </c>
      <c r="H16" s="4" t="s">
        <v>102</v>
      </c>
      <c r="I16" s="4" t="s">
        <v>102</v>
      </c>
      <c r="J16" s="4" t="s">
        <v>102</v>
      </c>
    </row>
    <row r="17" ht="43" customHeight="1" spans="1:10">
      <c r="A17" s="4" t="s">
        <v>127</v>
      </c>
      <c r="B17" s="4" t="s">
        <v>118</v>
      </c>
      <c r="C17" s="4" t="s">
        <v>128</v>
      </c>
      <c r="D17" s="4" t="s">
        <v>99</v>
      </c>
      <c r="E17" s="4" t="s">
        <v>98</v>
      </c>
      <c r="F17" s="4" t="s">
        <v>129</v>
      </c>
      <c r="G17" s="4" t="s">
        <v>101</v>
      </c>
      <c r="H17" s="4" t="s">
        <v>102</v>
      </c>
      <c r="I17" s="4" t="s">
        <v>102</v>
      </c>
      <c r="J17" s="4" t="s">
        <v>102</v>
      </c>
    </row>
    <row r="18" ht="43" customHeight="1" spans="1:10">
      <c r="A18" s="4" t="s">
        <v>130</v>
      </c>
      <c r="B18" s="4" t="s">
        <v>118</v>
      </c>
      <c r="C18" s="4" t="s">
        <v>131</v>
      </c>
      <c r="D18" s="4" t="s">
        <v>105</v>
      </c>
      <c r="E18" s="4" t="s">
        <v>98</v>
      </c>
      <c r="F18" s="4" t="s">
        <v>132</v>
      </c>
      <c r="G18" s="4" t="s">
        <v>101</v>
      </c>
      <c r="H18" s="4" t="s">
        <v>102</v>
      </c>
      <c r="I18" s="4" t="s">
        <v>102</v>
      </c>
      <c r="J18" s="4" t="s">
        <v>102</v>
      </c>
    </row>
    <row r="19" ht="43" customHeight="1" spans="1:10">
      <c r="A19" s="4" t="s">
        <v>133</v>
      </c>
      <c r="B19" s="4" t="s">
        <v>134</v>
      </c>
      <c r="C19" s="4" t="s">
        <v>135</v>
      </c>
      <c r="D19" s="4" t="s">
        <v>99</v>
      </c>
      <c r="E19" s="4" t="s">
        <v>105</v>
      </c>
      <c r="F19" s="4" t="s">
        <v>136</v>
      </c>
      <c r="G19" s="4" t="s">
        <v>101</v>
      </c>
      <c r="H19" s="4" t="s">
        <v>102</v>
      </c>
      <c r="I19" s="4" t="s">
        <v>102</v>
      </c>
      <c r="J19" s="4" t="s">
        <v>102</v>
      </c>
    </row>
    <row r="20" ht="43" customHeight="1" spans="1:10">
      <c r="A20" s="4" t="s">
        <v>137</v>
      </c>
      <c r="B20" s="4" t="s">
        <v>134</v>
      </c>
      <c r="C20" s="4" t="s">
        <v>138</v>
      </c>
      <c r="D20" s="4" t="s">
        <v>99</v>
      </c>
      <c r="E20" s="4" t="s">
        <v>105</v>
      </c>
      <c r="F20" s="4" t="s">
        <v>139</v>
      </c>
      <c r="G20" s="4" t="s">
        <v>101</v>
      </c>
      <c r="H20" s="4" t="s">
        <v>102</v>
      </c>
      <c r="I20" s="4" t="s">
        <v>102</v>
      </c>
      <c r="J20" s="4" t="s">
        <v>102</v>
      </c>
    </row>
    <row r="21" ht="43" customHeight="1" spans="1:10">
      <c r="A21" s="4" t="s">
        <v>140</v>
      </c>
      <c r="B21" s="4" t="s">
        <v>134</v>
      </c>
      <c r="C21" s="4" t="s">
        <v>141</v>
      </c>
      <c r="D21" s="4" t="s">
        <v>99</v>
      </c>
      <c r="E21" s="4" t="s">
        <v>98</v>
      </c>
      <c r="F21" s="4" t="s">
        <v>142</v>
      </c>
      <c r="G21" s="4" t="s">
        <v>101</v>
      </c>
      <c r="H21" s="4" t="s">
        <v>102</v>
      </c>
      <c r="I21" s="4" t="s">
        <v>102</v>
      </c>
      <c r="J21" s="4" t="s">
        <v>102</v>
      </c>
    </row>
    <row r="22" ht="43" customHeight="1" spans="1:10">
      <c r="A22" s="4" t="s">
        <v>143</v>
      </c>
      <c r="B22" s="4" t="s">
        <v>134</v>
      </c>
      <c r="C22" s="4" t="s">
        <v>144</v>
      </c>
      <c r="D22" s="4" t="s">
        <v>105</v>
      </c>
      <c r="E22" s="4" t="s">
        <v>99</v>
      </c>
      <c r="F22" s="4" t="s">
        <v>145</v>
      </c>
      <c r="G22" s="4" t="s">
        <v>101</v>
      </c>
      <c r="H22" s="4" t="s">
        <v>102</v>
      </c>
      <c r="I22" s="4" t="s">
        <v>102</v>
      </c>
      <c r="J22" s="4" t="s">
        <v>102</v>
      </c>
    </row>
    <row r="23" ht="43" customHeight="1" spans="1:10">
      <c r="A23" s="4" t="s">
        <v>146</v>
      </c>
      <c r="B23" s="4" t="s">
        <v>134</v>
      </c>
      <c r="C23" s="4" t="s">
        <v>147</v>
      </c>
      <c r="D23" s="4" t="s">
        <v>105</v>
      </c>
      <c r="E23" s="4" t="s">
        <v>98</v>
      </c>
      <c r="F23" s="4" t="s">
        <v>148</v>
      </c>
      <c r="G23" s="4" t="s">
        <v>101</v>
      </c>
      <c r="H23" s="4" t="s">
        <v>102</v>
      </c>
      <c r="I23" s="4" t="s">
        <v>102</v>
      </c>
      <c r="J23" s="4" t="s">
        <v>102</v>
      </c>
    </row>
    <row r="24" ht="43" customHeight="1" spans="1:10">
      <c r="A24" s="4" t="s">
        <v>149</v>
      </c>
      <c r="B24" s="4" t="s">
        <v>150</v>
      </c>
      <c r="C24" s="4" t="s">
        <v>151</v>
      </c>
      <c r="D24" s="4" t="s">
        <v>105</v>
      </c>
      <c r="E24" s="4" t="s">
        <v>98</v>
      </c>
      <c r="F24" s="4" t="s">
        <v>152</v>
      </c>
      <c r="G24" s="4" t="s">
        <v>101</v>
      </c>
      <c r="H24" s="4" t="s">
        <v>102</v>
      </c>
      <c r="I24" s="4" t="s">
        <v>102</v>
      </c>
      <c r="J24" s="4" t="s">
        <v>102</v>
      </c>
    </row>
    <row r="25" ht="43" customHeight="1" spans="1:10">
      <c r="A25" s="4" t="s">
        <v>153</v>
      </c>
      <c r="B25" s="4" t="s">
        <v>150</v>
      </c>
      <c r="C25" s="4" t="s">
        <v>154</v>
      </c>
      <c r="D25" s="4" t="s">
        <v>99</v>
      </c>
      <c r="E25" s="4" t="s">
        <v>105</v>
      </c>
      <c r="F25" s="4" t="s">
        <v>155</v>
      </c>
      <c r="G25" s="4" t="s">
        <v>101</v>
      </c>
      <c r="H25" s="4" t="s">
        <v>102</v>
      </c>
      <c r="I25" s="4" t="s">
        <v>102</v>
      </c>
      <c r="J25" s="4" t="s">
        <v>102</v>
      </c>
    </row>
    <row r="26" ht="43" customHeight="1" spans="1:10">
      <c r="A26" s="4" t="s">
        <v>156</v>
      </c>
      <c r="B26" s="4" t="s">
        <v>150</v>
      </c>
      <c r="C26" s="4" t="s">
        <v>157</v>
      </c>
      <c r="D26" s="4" t="s">
        <v>105</v>
      </c>
      <c r="E26" s="4" t="s">
        <v>99</v>
      </c>
      <c r="F26" s="4" t="s">
        <v>158</v>
      </c>
      <c r="G26" s="4" t="s">
        <v>101</v>
      </c>
      <c r="H26" s="4" t="s">
        <v>102</v>
      </c>
      <c r="I26" s="4" t="s">
        <v>102</v>
      </c>
      <c r="J26" s="4" t="s">
        <v>102</v>
      </c>
    </row>
    <row r="27" ht="43" customHeight="1" spans="1:10">
      <c r="A27" s="4" t="s">
        <v>159</v>
      </c>
      <c r="B27" s="4" t="s">
        <v>150</v>
      </c>
      <c r="C27" s="4" t="s">
        <v>160</v>
      </c>
      <c r="D27" s="4" t="s">
        <v>105</v>
      </c>
      <c r="E27" s="4" t="s">
        <v>99</v>
      </c>
      <c r="F27" s="4" t="s">
        <v>161</v>
      </c>
      <c r="G27" s="4" t="s">
        <v>101</v>
      </c>
      <c r="H27" s="4" t="s">
        <v>102</v>
      </c>
      <c r="I27" s="4" t="s">
        <v>102</v>
      </c>
      <c r="J27" s="4" t="s">
        <v>102</v>
      </c>
    </row>
    <row r="28" ht="43" customHeight="1" spans="1:10">
      <c r="A28" s="4" t="s">
        <v>162</v>
      </c>
      <c r="B28" s="4" t="s">
        <v>150</v>
      </c>
      <c r="C28" s="4" t="s">
        <v>163</v>
      </c>
      <c r="D28" s="4" t="s">
        <v>105</v>
      </c>
      <c r="E28" s="4" t="s">
        <v>98</v>
      </c>
      <c r="F28" s="4" t="s">
        <v>164</v>
      </c>
      <c r="G28" s="4" t="s">
        <v>101</v>
      </c>
      <c r="H28" s="4" t="s">
        <v>102</v>
      </c>
      <c r="I28" s="4" t="s">
        <v>102</v>
      </c>
      <c r="J28" s="4" t="s">
        <v>102</v>
      </c>
    </row>
    <row r="29" ht="43" customHeight="1" spans="1:10">
      <c r="A29" s="4" t="s">
        <v>165</v>
      </c>
      <c r="B29" s="4" t="s">
        <v>166</v>
      </c>
      <c r="C29" s="4" t="s">
        <v>167</v>
      </c>
      <c r="D29" s="4" t="s">
        <v>105</v>
      </c>
      <c r="E29" s="4" t="s">
        <v>98</v>
      </c>
      <c r="F29" s="4" t="s">
        <v>168</v>
      </c>
      <c r="G29" s="4" t="s">
        <v>101</v>
      </c>
      <c r="H29" s="4" t="s">
        <v>102</v>
      </c>
      <c r="I29" s="4" t="s">
        <v>102</v>
      </c>
      <c r="J29" s="4" t="s">
        <v>102</v>
      </c>
    </row>
    <row r="30" ht="43" customHeight="1" spans="1:10">
      <c r="A30" s="4" t="s">
        <v>169</v>
      </c>
      <c r="B30" s="4" t="s">
        <v>166</v>
      </c>
      <c r="C30" s="4" t="s">
        <v>170</v>
      </c>
      <c r="D30" s="4" t="s">
        <v>105</v>
      </c>
      <c r="E30" s="4" t="s">
        <v>98</v>
      </c>
      <c r="F30" s="4" t="s">
        <v>171</v>
      </c>
      <c r="G30" s="4" t="s">
        <v>101</v>
      </c>
      <c r="H30" s="4" t="s">
        <v>102</v>
      </c>
      <c r="I30" s="4" t="s">
        <v>102</v>
      </c>
      <c r="J30" s="4" t="s">
        <v>102</v>
      </c>
    </row>
    <row r="31" ht="43" customHeight="1" spans="1:10">
      <c r="A31" s="4" t="s">
        <v>172</v>
      </c>
      <c r="B31" s="4" t="s">
        <v>166</v>
      </c>
      <c r="C31" s="4" t="s">
        <v>173</v>
      </c>
      <c r="D31" s="4" t="s">
        <v>98</v>
      </c>
      <c r="E31" s="4" t="s">
        <v>105</v>
      </c>
      <c r="F31" s="4" t="s">
        <v>174</v>
      </c>
      <c r="G31" s="4" t="s">
        <v>101</v>
      </c>
      <c r="H31" s="4" t="s">
        <v>102</v>
      </c>
      <c r="I31" s="4" t="s">
        <v>102</v>
      </c>
      <c r="J31" s="4" t="s">
        <v>102</v>
      </c>
    </row>
    <row r="32" ht="43" customHeight="1" spans="1:10">
      <c r="A32" s="4" t="s">
        <v>175</v>
      </c>
      <c r="B32" s="4" t="s">
        <v>166</v>
      </c>
      <c r="C32" s="4" t="s">
        <v>176</v>
      </c>
      <c r="D32" s="4" t="s">
        <v>98</v>
      </c>
      <c r="E32" s="4" t="s">
        <v>99</v>
      </c>
      <c r="F32" s="4" t="s">
        <v>177</v>
      </c>
      <c r="G32" s="4" t="s">
        <v>101</v>
      </c>
      <c r="H32" s="4" t="s">
        <v>102</v>
      </c>
      <c r="I32" s="4" t="s">
        <v>102</v>
      </c>
      <c r="J32" s="4" t="s">
        <v>102</v>
      </c>
    </row>
    <row r="33" ht="43" customHeight="1" spans="1:10">
      <c r="A33" s="4" t="s">
        <v>178</v>
      </c>
      <c r="B33" s="4" t="s">
        <v>166</v>
      </c>
      <c r="C33" s="4" t="s">
        <v>179</v>
      </c>
      <c r="D33" s="4" t="s">
        <v>98</v>
      </c>
      <c r="E33" s="4" t="s">
        <v>115</v>
      </c>
      <c r="F33" s="4" t="s">
        <v>180</v>
      </c>
      <c r="G33" s="4" t="s">
        <v>101</v>
      </c>
      <c r="H33" s="4" t="s">
        <v>102</v>
      </c>
      <c r="I33" s="4" t="s">
        <v>102</v>
      </c>
      <c r="J33" s="4" t="s">
        <v>102</v>
      </c>
    </row>
    <row r="34" ht="43" customHeight="1" spans="1:10">
      <c r="A34" s="4" t="s">
        <v>181</v>
      </c>
      <c r="B34" s="4" t="s">
        <v>182</v>
      </c>
      <c r="C34" s="4" t="s">
        <v>183</v>
      </c>
      <c r="D34" s="4" t="s">
        <v>98</v>
      </c>
      <c r="E34" s="4" t="s">
        <v>115</v>
      </c>
      <c r="F34" s="4" t="s">
        <v>184</v>
      </c>
      <c r="G34" s="4" t="s">
        <v>101</v>
      </c>
      <c r="H34" s="4" t="s">
        <v>102</v>
      </c>
      <c r="I34" s="4" t="s">
        <v>102</v>
      </c>
      <c r="J34" s="4" t="s">
        <v>102</v>
      </c>
    </row>
    <row r="35" ht="43" customHeight="1" spans="1:10">
      <c r="A35" s="4" t="s">
        <v>185</v>
      </c>
      <c r="B35" s="4" t="s">
        <v>182</v>
      </c>
      <c r="C35" s="4" t="s">
        <v>186</v>
      </c>
      <c r="D35" s="4" t="s">
        <v>99</v>
      </c>
      <c r="E35" s="4" t="s">
        <v>105</v>
      </c>
      <c r="F35" s="4" t="s">
        <v>187</v>
      </c>
      <c r="G35" s="4" t="s">
        <v>101</v>
      </c>
      <c r="H35" s="4" t="s">
        <v>102</v>
      </c>
      <c r="I35" s="4" t="s">
        <v>102</v>
      </c>
      <c r="J35" s="4" t="s">
        <v>102</v>
      </c>
    </row>
    <row r="36" ht="43" customHeight="1" spans="1:10">
      <c r="A36" s="4" t="s">
        <v>188</v>
      </c>
      <c r="B36" s="4" t="s">
        <v>182</v>
      </c>
      <c r="C36" s="4" t="s">
        <v>189</v>
      </c>
      <c r="D36" s="4" t="s">
        <v>105</v>
      </c>
      <c r="E36" s="4" t="s">
        <v>99</v>
      </c>
      <c r="F36" s="4" t="s">
        <v>190</v>
      </c>
      <c r="G36" s="4" t="s">
        <v>101</v>
      </c>
      <c r="H36" s="4" t="s">
        <v>102</v>
      </c>
      <c r="I36" s="4" t="s">
        <v>102</v>
      </c>
      <c r="J36" s="4" t="s">
        <v>102</v>
      </c>
    </row>
    <row r="37" ht="43" customHeight="1" spans="1:10">
      <c r="A37" s="4" t="s">
        <v>191</v>
      </c>
      <c r="B37" s="4" t="s">
        <v>182</v>
      </c>
      <c r="C37" s="4" t="s">
        <v>192</v>
      </c>
      <c r="D37" s="4" t="s">
        <v>98</v>
      </c>
      <c r="E37" s="4" t="s">
        <v>115</v>
      </c>
      <c r="F37" s="4" t="s">
        <v>193</v>
      </c>
      <c r="G37" s="4" t="s">
        <v>101</v>
      </c>
      <c r="H37" s="4" t="s">
        <v>102</v>
      </c>
      <c r="I37" s="4" t="s">
        <v>102</v>
      </c>
      <c r="J37" s="4" t="s">
        <v>102</v>
      </c>
    </row>
    <row r="38" ht="43" customHeight="1" spans="1:10">
      <c r="A38" s="4" t="s">
        <v>194</v>
      </c>
      <c r="B38" s="4" t="s">
        <v>182</v>
      </c>
      <c r="C38" s="4" t="s">
        <v>195</v>
      </c>
      <c r="D38" s="4" t="s">
        <v>98</v>
      </c>
      <c r="E38" s="4" t="s">
        <v>115</v>
      </c>
      <c r="F38" s="4" t="s">
        <v>196</v>
      </c>
      <c r="G38" s="4" t="s">
        <v>101</v>
      </c>
      <c r="H38" s="4" t="s">
        <v>102</v>
      </c>
      <c r="I38" s="4" t="s">
        <v>102</v>
      </c>
      <c r="J38" s="4" t="s">
        <v>102</v>
      </c>
    </row>
  </sheetData>
  <mergeCells count="1">
    <mergeCell ref="A1:J1"/>
  </mergeCells>
  <conditionalFormatting sqref="G9:G38">
    <cfRule type="expression" dxfId="0" priority="1">
      <formula>G9="Hoàn thành"</formula>
    </cfRule>
    <cfRule type="expression" dxfId="1" priority="2">
      <formula>G9="Bị chặn"</formula>
    </cfRule>
    <cfRule type="expression" dxfId="2" priority="3">
      <formula>G9="Đang làm"</formula>
    </cfRule>
    <cfRule type="expression" dxfId="3" priority="4">
      <formula>G9="Chờ rà soát"</formula>
    </cfRule>
  </conditionalFormatting>
  <dataValidations count="1">
    <dataValidation type="list" sqref="G9:G38">
      <formula1>"Chưa làm,Đang làm,Chờ rà soát,Bị chặn,Hoàn thành"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pane ySplit="8" topLeftCell="A9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33" customWidth="1"/>
    <col min="3" max="3" width="16" customWidth="1"/>
    <col min="4" max="4" width="75" customWidth="1"/>
    <col min="5" max="5" width="21" customWidth="1"/>
    <col min="6" max="6" width="19" customWidth="1"/>
    <col min="7" max="8" width="43" customWidth="1"/>
  </cols>
  <sheetData>
    <row r="1" ht="32" customHeight="1" spans="1:8">
      <c r="A1" s="1" t="s">
        <v>197</v>
      </c>
      <c r="B1" s="1"/>
      <c r="C1" s="1"/>
      <c r="D1" s="1"/>
      <c r="E1" s="1"/>
      <c r="F1" s="1"/>
      <c r="G1" s="1"/>
      <c r="H1" s="1"/>
    </row>
    <row r="3" spans="1:8">
      <c r="A3" t="s">
        <v>198</v>
      </c>
      <c r="B3">
        <v>12</v>
      </c>
    </row>
    <row r="4" spans="1:8">
      <c r="A4" t="s">
        <v>199</v>
      </c>
      <c r="B4">
        <f>COUNTIF(F9:F20,"Đạt")</f>
        <v>0</v>
      </c>
    </row>
    <row r="5" spans="1:8">
      <c r="A5" t="s">
        <v>200</v>
      </c>
      <c r="B5" s="2">
        <f>B4/B3</f>
        <v>0</v>
      </c>
    </row>
    <row r="8" ht="28" customHeight="1" spans="1:8">
      <c r="A8" s="3" t="s">
        <v>86</v>
      </c>
      <c r="B8" s="3" t="s">
        <v>201</v>
      </c>
      <c r="C8" s="3" t="s">
        <v>88</v>
      </c>
      <c r="D8" s="3" t="s">
        <v>202</v>
      </c>
      <c r="E8" s="3" t="s">
        <v>203</v>
      </c>
      <c r="F8" s="3" t="s">
        <v>204</v>
      </c>
      <c r="G8" s="3" t="s">
        <v>205</v>
      </c>
      <c r="H8" s="3" t="s">
        <v>206</v>
      </c>
    </row>
    <row r="9" ht="51" customHeight="1" spans="1:8">
      <c r="A9" s="4" t="s">
        <v>207</v>
      </c>
      <c r="B9" s="4" t="s">
        <v>208</v>
      </c>
      <c r="C9" s="4" t="s">
        <v>98</v>
      </c>
      <c r="D9" s="4" t="s">
        <v>209</v>
      </c>
      <c r="E9" s="4" t="s">
        <v>210</v>
      </c>
      <c r="F9" s="4" t="s">
        <v>211</v>
      </c>
      <c r="G9" s="4" t="s">
        <v>102</v>
      </c>
      <c r="H9" s="4" t="s">
        <v>102</v>
      </c>
    </row>
    <row r="10" ht="51" customHeight="1" spans="1:8">
      <c r="A10" s="4" t="s">
        <v>212</v>
      </c>
      <c r="B10" s="4" t="s">
        <v>213</v>
      </c>
      <c r="C10" s="4" t="s">
        <v>98</v>
      </c>
      <c r="D10" s="4" t="s">
        <v>214</v>
      </c>
      <c r="E10" s="4" t="s">
        <v>215</v>
      </c>
      <c r="F10" s="4" t="s">
        <v>211</v>
      </c>
      <c r="G10" s="4" t="s">
        <v>102</v>
      </c>
      <c r="H10" s="4" t="s">
        <v>102</v>
      </c>
    </row>
    <row r="11" ht="51" customHeight="1" spans="1:8">
      <c r="A11" s="4" t="s">
        <v>216</v>
      </c>
      <c r="B11" s="4" t="s">
        <v>129</v>
      </c>
      <c r="C11" s="4" t="s">
        <v>99</v>
      </c>
      <c r="D11" s="4" t="s">
        <v>217</v>
      </c>
      <c r="E11" s="4" t="s">
        <v>127</v>
      </c>
      <c r="F11" s="4" t="s">
        <v>211</v>
      </c>
      <c r="G11" s="4" t="s">
        <v>102</v>
      </c>
      <c r="H11" s="4" t="s">
        <v>102</v>
      </c>
    </row>
    <row r="12" ht="51" customHeight="1" spans="1:8">
      <c r="A12" s="4" t="s">
        <v>218</v>
      </c>
      <c r="B12" s="4" t="s">
        <v>219</v>
      </c>
      <c r="C12" s="4" t="s">
        <v>99</v>
      </c>
      <c r="D12" s="4" t="s">
        <v>220</v>
      </c>
      <c r="E12" s="4" t="s">
        <v>221</v>
      </c>
      <c r="F12" s="4" t="s">
        <v>211</v>
      </c>
      <c r="G12" s="4" t="s">
        <v>102</v>
      </c>
      <c r="H12" s="4" t="s">
        <v>102</v>
      </c>
    </row>
    <row r="13" ht="51" customHeight="1" spans="1:8">
      <c r="A13" s="4" t="s">
        <v>222</v>
      </c>
      <c r="B13" s="4" t="s">
        <v>223</v>
      </c>
      <c r="C13" s="4" t="s">
        <v>99</v>
      </c>
      <c r="D13" s="4" t="s">
        <v>224</v>
      </c>
      <c r="E13" s="4" t="s">
        <v>225</v>
      </c>
      <c r="F13" s="4" t="s">
        <v>211</v>
      </c>
      <c r="G13" s="4" t="s">
        <v>102</v>
      </c>
      <c r="H13" s="4" t="s">
        <v>102</v>
      </c>
    </row>
    <row r="14" ht="51" customHeight="1" spans="1:8">
      <c r="A14" s="4" t="s">
        <v>226</v>
      </c>
      <c r="B14" s="4" t="s">
        <v>227</v>
      </c>
      <c r="C14" s="4" t="s">
        <v>105</v>
      </c>
      <c r="D14" s="4" t="s">
        <v>228</v>
      </c>
      <c r="E14" s="4" t="s">
        <v>229</v>
      </c>
      <c r="F14" s="4" t="s">
        <v>211</v>
      </c>
      <c r="G14" s="4" t="s">
        <v>102</v>
      </c>
      <c r="H14" s="4" t="s">
        <v>102</v>
      </c>
    </row>
    <row r="15" ht="51" customHeight="1" spans="1:8">
      <c r="A15" s="4" t="s">
        <v>230</v>
      </c>
      <c r="B15" s="4" t="s">
        <v>164</v>
      </c>
      <c r="C15" s="4" t="s">
        <v>105</v>
      </c>
      <c r="D15" s="4" t="s">
        <v>231</v>
      </c>
      <c r="E15" s="4" t="s">
        <v>232</v>
      </c>
      <c r="F15" s="4" t="s">
        <v>211</v>
      </c>
      <c r="G15" s="4" t="s">
        <v>102</v>
      </c>
      <c r="H15" s="4" t="s">
        <v>102</v>
      </c>
    </row>
    <row r="16" ht="51" customHeight="1" spans="1:8">
      <c r="A16" s="4" t="s">
        <v>233</v>
      </c>
      <c r="B16" s="4" t="s">
        <v>171</v>
      </c>
      <c r="C16" s="4" t="s">
        <v>105</v>
      </c>
      <c r="D16" s="4" t="s">
        <v>234</v>
      </c>
      <c r="E16" s="4" t="s">
        <v>169</v>
      </c>
      <c r="F16" s="4" t="s">
        <v>211</v>
      </c>
      <c r="G16" s="4" t="s">
        <v>102</v>
      </c>
      <c r="H16" s="4" t="s">
        <v>102</v>
      </c>
    </row>
    <row r="17" ht="51" customHeight="1" spans="1:8">
      <c r="A17" s="4" t="s">
        <v>235</v>
      </c>
      <c r="B17" s="4" t="s">
        <v>236</v>
      </c>
      <c r="C17" s="4" t="s">
        <v>98</v>
      </c>
      <c r="D17" s="4" t="s">
        <v>237</v>
      </c>
      <c r="E17" s="4" t="s">
        <v>238</v>
      </c>
      <c r="F17" s="4" t="s">
        <v>211</v>
      </c>
      <c r="G17" s="4" t="s">
        <v>102</v>
      </c>
      <c r="H17" s="4" t="s">
        <v>102</v>
      </c>
    </row>
    <row r="18" ht="51" customHeight="1" spans="1:8">
      <c r="A18" s="4" t="s">
        <v>239</v>
      </c>
      <c r="B18" s="4" t="s">
        <v>240</v>
      </c>
      <c r="C18" s="4" t="s">
        <v>99</v>
      </c>
      <c r="D18" s="4" t="s">
        <v>241</v>
      </c>
      <c r="E18" s="4" t="s">
        <v>185</v>
      </c>
      <c r="F18" s="4" t="s">
        <v>211</v>
      </c>
      <c r="G18" s="4" t="s">
        <v>102</v>
      </c>
      <c r="H18" s="4" t="s">
        <v>102</v>
      </c>
    </row>
    <row r="19" ht="51" customHeight="1" spans="1:8">
      <c r="A19" s="4" t="s">
        <v>242</v>
      </c>
      <c r="B19" s="4" t="s">
        <v>184</v>
      </c>
      <c r="C19" s="4" t="s">
        <v>98</v>
      </c>
      <c r="D19" s="4" t="s">
        <v>243</v>
      </c>
      <c r="E19" s="4" t="s">
        <v>181</v>
      </c>
      <c r="F19" s="4" t="s">
        <v>211</v>
      </c>
      <c r="G19" s="4" t="s">
        <v>102</v>
      </c>
      <c r="H19" s="4" t="s">
        <v>102</v>
      </c>
    </row>
    <row r="20" ht="51" customHeight="1" spans="1:8">
      <c r="A20" s="4" t="s">
        <v>244</v>
      </c>
      <c r="B20" s="4" t="s">
        <v>245</v>
      </c>
      <c r="C20" s="4" t="s">
        <v>98</v>
      </c>
      <c r="D20" s="4" t="s">
        <v>246</v>
      </c>
      <c r="E20" s="4" t="s">
        <v>247</v>
      </c>
      <c r="F20" s="4" t="s">
        <v>211</v>
      </c>
      <c r="G20" s="4" t="s">
        <v>102</v>
      </c>
      <c r="H20" s="4" t="s">
        <v>102</v>
      </c>
    </row>
  </sheetData>
  <mergeCells count="1">
    <mergeCell ref="A1:H1"/>
  </mergeCells>
  <conditionalFormatting sqref="F9:F20">
    <cfRule type="expression" dxfId="0" priority="1">
      <formula>F9="Đạt"</formula>
    </cfRule>
    <cfRule type="expression" dxfId="2" priority="2">
      <formula>F9="Đang rà soát"</formula>
    </cfRule>
  </conditionalFormatting>
  <dataValidations count="1">
    <dataValidation type="list" sqref="F9:F20">
      <formula1>"Chưa đạt,Đang rà soát,Đạt"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01_Lo_trinh</vt:lpstr>
      <vt:lpstr>02_Checklist_Task</vt:lpstr>
      <vt:lpstr>03_Nghiem_thu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Uyen Phuong</cp:lastModifiedBy>
  <dcterms:created xsi:type="dcterms:W3CDTF">2026-10-27T22:41:03Z</dcterms:created>
  <dcterms:modified xsi:type="dcterms:W3CDTF">2026-10-27T22:41:11Z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1F66D4A9FBD12CB817C6E06A892FA0DD_42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